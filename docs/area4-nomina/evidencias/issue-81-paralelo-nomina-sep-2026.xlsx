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mina sep 2026" sheetId="1" r:id="rId1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3" width="16" customWidth="1"/>
  </cols>
  <sheetData>
    <row r="1">
      <c r="A1" t="inlineStr" s="1">
        <is>
          <t>Agente</t>
        </is>
      </c>
      <c r="B1" t="inlineStr" s="1">
        <is>
          <t>Zona</t>
        </is>
      </c>
      <c r="C1" t="inlineStr" s="1">
        <is>
          <t>Salario diario</t>
        </is>
      </c>
      <c r="D1" t="inlineStr" s="1">
        <is>
          <t>Días del mes</t>
        </is>
      </c>
      <c r="E1" t="inlineStr" s="1">
        <is>
          <t>Meta</t>
        </is>
      </c>
      <c r="F1" t="inlineStr" s="1">
        <is>
          <t>Cobrado sin IVA</t>
        </is>
      </c>
      <c r="G1" t="inlineStr" s="1">
        <is>
          <t>Clientes nuevos</t>
        </is>
      </c>
      <c r="H1" t="inlineStr" s="1">
        <is>
          <t>Cartera vencida %</t>
        </is>
      </c>
      <c r="I1" t="inlineStr" s="1">
        <is>
          <t>Sin retardos (1 = sí)</t>
        </is>
      </c>
      <c r="J1" t="inlineStr" s="1">
        <is>
          <t>Sueldo</t>
        </is>
      </c>
      <c r="K1" t="inlineStr" s="1">
        <is>
          <t>Cumplimiento %</t>
        </is>
      </c>
      <c r="L1" t="inlineStr" s="1">
        <is>
          <t>Tasa del tramo</t>
        </is>
      </c>
      <c r="M1" t="inlineStr" s="1">
        <is>
          <t>Comisión</t>
        </is>
      </c>
      <c r="N1" t="inlineStr" s="1">
        <is>
          <t>Bono de meta</t>
        </is>
      </c>
      <c r="O1" t="inlineStr" s="1">
        <is>
          <t>Bono clientes nuevos</t>
        </is>
      </c>
      <c r="P1" t="inlineStr" s="1">
        <is>
          <t>Bono cobranza sana</t>
        </is>
      </c>
      <c r="Q1" t="inlineStr" s="1">
        <is>
          <t>Premio puntualidad</t>
        </is>
      </c>
      <c r="R1" t="inlineStr" s="1">
        <is>
          <t>Percepciones Excel</t>
        </is>
      </c>
      <c r="S1" t="inlineStr" s="1">
        <is>
          <t>Percepciones sistema</t>
        </is>
      </c>
      <c r="T1" t="inlineStr" s="1">
        <is>
          <t>Diferencia</t>
        </is>
      </c>
      <c r="U1" t="inlineStr" s="1">
        <is>
          <t>IMSS obrero Excel</t>
        </is>
      </c>
      <c r="V1" t="inlineStr" s="1">
        <is>
          <t>IMSS obrero sistema</t>
        </is>
      </c>
      <c r="W1" t="inlineStr" s="1">
        <is>
          <t>Diferencia IMSS</t>
        </is>
      </c>
    </row>
    <row r="2">
      <c r="A2" t="inlineStr">
        <is>
          <t>Jorge Mendoza</t>
        </is>
      </c>
      <c r="B2" t="inlineStr">
        <is>
          <t>GENERAL</t>
        </is>
      </c>
      <c r="C2">
        <v>350</v>
      </c>
      <c r="D2">
        <v>30.4</v>
      </c>
      <c r="E2">
        <v>500000</v>
      </c>
      <c r="F2">
        <v>560000</v>
      </c>
      <c r="G2">
        <v>2</v>
      </c>
      <c r="H2">
        <v>3</v>
      </c>
      <c r="I2">
        <v>1</v>
      </c>
      <c r="J2">
        <f>ROUND(C2*D2,2)</f>
        <v>10640</v>
      </c>
      <c r="K2">
        <f>ROUND(F2/E2*100,2)</f>
        <v>112</v>
      </c>
      <c r="L2">
        <f>IF(K2&gt;=120,0.035,IF(K2&gt;=100,0.03,IF(K2&gt;=70,0.02,0.01)))</f>
        <v>0.03</v>
      </c>
      <c r="M2">
        <f>ROUND(F2*L2,2)</f>
        <v>16800</v>
      </c>
      <c r="N2">
        <f>IF(K2&gt;=100,2500,0)</f>
        <v>2500</v>
      </c>
      <c r="O2">
        <f>G2*500</f>
        <v>1000</v>
      </c>
      <c r="P2">
        <f>IF(H2&lt;5,1000,0)</f>
        <v>1000</v>
      </c>
      <c r="Q2">
        <f>IF(I2=1,ROUND(J2*0.1,2),0)</f>
        <v>1064</v>
      </c>
      <c r="R2">
        <f>J2+M2+N2+O2+P2+Q2</f>
        <v>33004</v>
      </c>
      <c r="S2">
        <v>33004</v>
      </c>
      <c r="T2">
        <f>ROUND(R2-S2,2)</f>
        <v>0</v>
      </c>
      <c r="U2">
        <f>ROUND((R2-Q2)*0.0238,2)</f>
        <v>760.17</v>
      </c>
      <c r="V2">
        <v>760.17</v>
      </c>
      <c r="W2">
        <f>ROUND(U2-V2,2)</f>
        <v>0</v>
      </c>
    </row>
    <row r="3">
      <c r="A3" t="inlineStr">
        <is>
          <t>Verónica Castillo</t>
        </is>
      </c>
      <c r="B3" t="inlineStr">
        <is>
          <t>GENERAL</t>
        </is>
      </c>
      <c r="C3">
        <v>350</v>
      </c>
      <c r="D3">
        <v>30.4</v>
      </c>
      <c r="E3">
        <v>200000</v>
      </c>
      <c r="F3">
        <v>0</v>
      </c>
      <c r="G3">
        <v>0</v>
      </c>
      <c r="H3">
        <v>0</v>
      </c>
      <c r="I3">
        <v>1</v>
      </c>
      <c r="J3">
        <f>ROUND(C3*D3,2)</f>
        <v>10640</v>
      </c>
      <c r="K3">
        <f>ROUND(F3/E3*100,2)</f>
        <v>0</v>
      </c>
      <c r="L3">
        <f>IF(K3&gt;=120,0.035,IF(K3&gt;=100,0.03,IF(K3&gt;=70,0.02,0.01)))</f>
        <v>0.01</v>
      </c>
      <c r="M3">
        <f>ROUND(F3*L3,2)</f>
        <v>0</v>
      </c>
      <c r="N3">
        <f>IF(K3&gt;=100,2500,0)</f>
        <v>0</v>
      </c>
      <c r="O3">
        <f>G3*500</f>
        <v>0</v>
      </c>
      <c r="P3">
        <f>IF(H3&lt;5,1000,0)</f>
        <v>1000</v>
      </c>
      <c r="Q3">
        <f>IF(I3=1,ROUND(J3*0.1,2),0)</f>
        <v>1064</v>
      </c>
      <c r="R3">
        <f>J3+M3+N3+O3+P3+Q3</f>
        <v>12704</v>
      </c>
      <c r="S3">
        <v>12704</v>
      </c>
      <c r="T3">
        <f>ROUND(R3-S3,2)</f>
        <v>0</v>
      </c>
      <c r="U3">
        <f>ROUND((R3-Q3)*0.0238,2)</f>
        <v>277.03</v>
      </c>
      <c r="V3">
        <v>277.03</v>
      </c>
      <c r="W3">
        <f>ROUND(U3-V3,2)</f>
        <v>0</v>
      </c>
    </row>
    <row r="4">
      <c r="A4" t="inlineStr">
        <is>
          <t>Andrés Fuentes</t>
        </is>
      </c>
      <c r="B4" t="inlineStr">
        <is>
          <t>GENERAL</t>
        </is>
      </c>
      <c r="C4">
        <v>360</v>
      </c>
      <c r="D4">
        <v>30.4</v>
      </c>
      <c r="E4">
        <v>250000</v>
      </c>
      <c r="F4">
        <v>210000</v>
      </c>
      <c r="G4">
        <v>1</v>
      </c>
      <c r="H4">
        <v>13.03</v>
      </c>
      <c r="I4">
        <v>0</v>
      </c>
      <c r="J4">
        <f>ROUND(C4*D4,2)</f>
        <v>10944</v>
      </c>
      <c r="K4">
        <f>ROUND(F4/E4*100,2)</f>
        <v>84</v>
      </c>
      <c r="L4">
        <f>IF(K4&gt;=120,0.035,IF(K4&gt;=100,0.03,IF(K4&gt;=70,0.02,0.01)))</f>
        <v>0.02</v>
      </c>
      <c r="M4">
        <f>ROUND(F4*L4,2)</f>
        <v>4200</v>
      </c>
      <c r="N4">
        <f>IF(K4&gt;=100,2500,0)</f>
        <v>0</v>
      </c>
      <c r="O4">
        <f>G4*500</f>
        <v>500</v>
      </c>
      <c r="P4">
        <f>IF(H4&lt;5,1000,0)</f>
        <v>0</v>
      </c>
      <c r="Q4">
        <f>IF(I4=1,ROUND(J4*0.1,2),0)</f>
        <v>0</v>
      </c>
      <c r="R4">
        <f>J4+M4+N4+O4+P4+Q4</f>
        <v>15644</v>
      </c>
      <c r="S4">
        <v>15644</v>
      </c>
      <c r="T4">
        <f>ROUND(R4-S4,2)</f>
        <v>0</v>
      </c>
      <c r="U4">
        <f>ROUND((R4-Q4)*0.0238,2)</f>
        <v>372.33</v>
      </c>
      <c r="V4">
        <v>372.33</v>
      </c>
      <c r="W4">
        <f>ROUND(U4-V4,2)</f>
        <v>0</v>
      </c>
    </row>
    <row r="5">
      <c r="A5" t="inlineStr">
        <is>
          <t>Patricia Leal</t>
        </is>
      </c>
      <c r="B5" t="inlineStr">
        <is>
          <t>GENERAL</t>
        </is>
      </c>
      <c r="C5">
        <v>350</v>
      </c>
      <c r="D5">
        <v>30.4</v>
      </c>
      <c r="E5">
        <v>300000</v>
      </c>
      <c r="F5">
        <v>72000</v>
      </c>
      <c r="G5">
        <v>1</v>
      </c>
      <c r="H5">
        <v>0</v>
      </c>
      <c r="I5">
        <v>1</v>
      </c>
      <c r="J5">
        <f>ROUND(C5*D5,2)</f>
        <v>10640</v>
      </c>
      <c r="K5">
        <f>ROUND(F5/E5*100,2)</f>
        <v>24</v>
      </c>
      <c r="L5">
        <f>IF(K5&gt;=120,0.035,IF(K5&gt;=100,0.03,IF(K5&gt;=70,0.02,0.01)))</f>
        <v>0.01</v>
      </c>
      <c r="M5">
        <f>ROUND(F5*L5,2)</f>
        <v>720</v>
      </c>
      <c r="N5">
        <f>IF(K5&gt;=100,2500,0)</f>
        <v>0</v>
      </c>
      <c r="O5">
        <f>G5*500</f>
        <v>500</v>
      </c>
      <c r="P5">
        <f>IF(H5&lt;5,1000,0)</f>
        <v>1000</v>
      </c>
      <c r="Q5">
        <f>IF(I5=1,ROUND(J5*0.1,2),0)</f>
        <v>1064</v>
      </c>
      <c r="R5">
        <f>J5+M5+N5+O5+P5+Q5</f>
        <v>13924</v>
      </c>
      <c r="S5">
        <v>13924</v>
      </c>
      <c r="T5">
        <f>ROUND(R5-S5,2)</f>
        <v>0</v>
      </c>
      <c r="U5">
        <f>ROUND((R5-Q5)*0.0238,2)</f>
        <v>306.07</v>
      </c>
      <c r="V5">
        <v>306.07</v>
      </c>
      <c r="W5">
        <f>ROUND(U5-V5,2)</f>
        <v>0</v>
      </c>
    </row>
    <row r="6">
      <c r="A6" t="inlineStr">
        <is>
          <t>Miguel Torres</t>
        </is>
      </c>
      <c r="B6" t="inlineStr">
        <is>
          <t>ZLFN</t>
        </is>
      </c>
      <c r="C6">
        <v>440.87</v>
      </c>
      <c r="D6">
        <v>30.4</v>
      </c>
      <c r="E6">
        <v>150000</v>
      </c>
      <c r="F6">
        <v>65000</v>
      </c>
      <c r="G6">
        <v>1</v>
      </c>
      <c r="H6">
        <v>0</v>
      </c>
      <c r="I6">
        <v>1</v>
      </c>
      <c r="J6">
        <f>ROUND(C6*D6,2)</f>
        <v>13402.45</v>
      </c>
      <c r="K6">
        <f>ROUND(F6/E6*100,2)</f>
        <v>43.33</v>
      </c>
      <c r="L6">
        <f>IF(K6&gt;=120,0.035,IF(K6&gt;=100,0.03,IF(K6&gt;=70,0.02,0.01)))</f>
        <v>0.01</v>
      </c>
      <c r="M6">
        <f>ROUND(F6*L6,2)</f>
        <v>650</v>
      </c>
      <c r="N6">
        <f>IF(K6&gt;=100,2500,0)</f>
        <v>0</v>
      </c>
      <c r="O6">
        <f>G6*500</f>
        <v>500</v>
      </c>
      <c r="P6">
        <f>IF(H6&lt;5,1000,0)</f>
        <v>1000</v>
      </c>
      <c r="Q6">
        <f>IF(I6=1,ROUND(J6*0.1,2),0)</f>
        <v>1340.25</v>
      </c>
      <c r="R6">
        <f>J6+M6+N6+O6+P6+Q6</f>
        <v>16892.7</v>
      </c>
      <c r="S6">
        <v>16892.7</v>
      </c>
      <c r="T6">
        <f>ROUND(R6-S6,2)</f>
        <v>0</v>
      </c>
      <c r="U6">
        <f>ROUND((R6-Q6)*0.0238,2)</f>
        <v>370.15</v>
      </c>
      <c r="V6">
        <v>370.15</v>
      </c>
      <c r="W6">
        <f>ROUND(U6-V6,2)</f>
        <v>0</v>
      </c>
    </row>
  </sheetData>
</worksheet>
</file>